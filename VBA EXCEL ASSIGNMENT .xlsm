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acy\Downloads\visa application\"/>
    </mc:Choice>
  </mc:AlternateContent>
  <xr:revisionPtr revIDLastSave="0" documentId="13_ncr:1_{D8139BAB-6519-4A28-90E0-08407A7DC789}" xr6:coauthVersionLast="47" xr6:coauthVersionMax="47" xr10:uidLastSave="{00000000-0000-0000-0000-000000000000}"/>
  <bookViews>
    <workbookView xWindow="-120" yWindow="-120" windowWidth="20730" windowHeight="11040" activeTab="3" xr2:uid="{3FEB2FF4-21B2-4C8A-9CDD-A24F2194CE29}"/>
  </bookViews>
  <sheets>
    <sheet name="Dashboard" sheetId="1" r:id="rId1"/>
    <sheet name="Applications" sheetId="2" r:id="rId2"/>
    <sheet name="PivotTables" sheetId="5" r:id="rId3"/>
    <sheet name="Data" sheetId="4" r:id="rId4"/>
    <sheet name="PaymentRecords" sheetId="6" r:id="rId5"/>
  </sheets>
  <calcPr calcId="191029"/>
  <pivotCaches>
    <pivotCache cacheId="13" r:id="rId6"/>
    <pivotCache cacheId="1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<sst xmlns="http://schemas.openxmlformats.org/spreadsheetml/2006/main" count="218" uniqueCount="116">
  <si>
    <t>Visa Applications Dashboard</t>
  </si>
  <si>
    <t>Full Name</t>
  </si>
  <si>
    <t>Passport Number</t>
  </si>
  <si>
    <t>Visa Type Name</t>
  </si>
  <si>
    <t>Visa Type Description</t>
  </si>
  <si>
    <t>Application Date</t>
  </si>
  <si>
    <t>Status</t>
  </si>
  <si>
    <t>stacy claris</t>
  </si>
  <si>
    <t>A12345678</t>
  </si>
  <si>
    <t>Employment</t>
  </si>
  <si>
    <t>For work-related purposes</t>
  </si>
  <si>
    <t>Pending</t>
  </si>
  <si>
    <t>Jane Smith</t>
  </si>
  <si>
    <t>B87654321</t>
  </si>
  <si>
    <t>Tourist</t>
  </si>
  <si>
    <t>For short-term visits</t>
  </si>
  <si>
    <t>Approved</t>
  </si>
  <si>
    <t>Vedhika Krishnan</t>
  </si>
  <si>
    <t>B87678654</t>
  </si>
  <si>
    <t xml:space="preserve">	Study</t>
  </si>
  <si>
    <t>For studying abroad</t>
  </si>
  <si>
    <t>Nicholas Brown</t>
  </si>
  <si>
    <t>XJ1234567</t>
  </si>
  <si>
    <t>Rejected</t>
  </si>
  <si>
    <t>john Doe</t>
  </si>
  <si>
    <t>AB9876543</t>
  </si>
  <si>
    <t>medical</t>
  </si>
  <si>
    <t>for medical and healthcare services</t>
  </si>
  <si>
    <t>sarah Jones</t>
  </si>
  <si>
    <t>CD4567890</t>
  </si>
  <si>
    <t>Mike Techman</t>
  </si>
  <si>
    <t>XY9081726</t>
  </si>
  <si>
    <t>Emily Rivera</t>
  </si>
  <si>
    <t>ZT1234598</t>
  </si>
  <si>
    <t>David Smith</t>
  </si>
  <si>
    <t>WP6743125</t>
  </si>
  <si>
    <t>Hannah Lee</t>
  </si>
  <si>
    <t>NJ4567901</t>
  </si>
  <si>
    <t>Nationality</t>
  </si>
  <si>
    <t>Phone</t>
  </si>
  <si>
    <t>Email</t>
  </si>
  <si>
    <t>Gender</t>
  </si>
  <si>
    <t>DOB</t>
  </si>
  <si>
    <t>german</t>
  </si>
  <si>
    <t>718-555-0459</t>
  </si>
  <si>
    <t>stacyclaris@gmail.com</t>
  </si>
  <si>
    <t>Female</t>
  </si>
  <si>
    <t>UK</t>
  </si>
  <si>
    <t>312-555-0739</t>
  </si>
  <si>
    <t>jane29@gmail.com</t>
  </si>
  <si>
    <t>USA</t>
  </si>
  <si>
    <t>415-555-0246</t>
  </si>
  <si>
    <t>vedhika101@gmail.com</t>
  </si>
  <si>
    <t>Male</t>
  </si>
  <si>
    <t>Australia</t>
  </si>
  <si>
    <t>202-555-0182</t>
  </si>
  <si>
    <t>nbrown24@gmail.com</t>
  </si>
  <si>
    <t>Bahamas</t>
  </si>
  <si>
    <t>503-555-0213</t>
  </si>
  <si>
    <t>johndoe_87@gmail.com</t>
  </si>
  <si>
    <t>Algeria</t>
  </si>
  <si>
    <t>917-555-0987</t>
  </si>
  <si>
    <t>sarah.jones21@hotmail.com</t>
  </si>
  <si>
    <t>Bolivia</t>
  </si>
  <si>
    <t>213-555-0194</t>
  </si>
  <si>
    <t>mike_techman@yahoo.com</t>
  </si>
  <si>
    <t>Switzerland</t>
  </si>
  <si>
    <t>305-555-0321</t>
  </si>
  <si>
    <t>emily_rivera@outlook.com</t>
  </si>
  <si>
    <t>Spain</t>
  </si>
  <si>
    <t>646-555-0115</t>
  </si>
  <si>
    <t>david_smith99@icloud.com</t>
  </si>
  <si>
    <t>Singapore</t>
  </si>
  <si>
    <t>617-555-0763</t>
  </si>
  <si>
    <t>hannah_lee123@aol.com</t>
  </si>
  <si>
    <t>Cash</t>
  </si>
  <si>
    <t>Credit Card</t>
  </si>
  <si>
    <t>Debit Cards</t>
  </si>
  <si>
    <t>Mobile Payment</t>
  </si>
  <si>
    <t>Payment Method</t>
  </si>
  <si>
    <t>Total Amount</t>
  </si>
  <si>
    <t>Total Count</t>
  </si>
  <si>
    <t>Row Labels</t>
  </si>
  <si>
    <t>Grand Total</t>
  </si>
  <si>
    <t>Sum of Total Amount</t>
  </si>
  <si>
    <t>marlin james</t>
  </si>
  <si>
    <t>south africa</t>
  </si>
  <si>
    <t>617-545-0863</t>
  </si>
  <si>
    <t>marlinjames1@gmail.coom</t>
  </si>
  <si>
    <t>josh lee</t>
  </si>
  <si>
    <t>718-555-0458</t>
  </si>
  <si>
    <t>leejosh@yahoo.com</t>
  </si>
  <si>
    <t>Sum of Total Count</t>
  </si>
  <si>
    <t>Visa Payments by Payment Method</t>
  </si>
  <si>
    <t>Total Applications by Status</t>
  </si>
  <si>
    <t>C87678654</t>
  </si>
  <si>
    <t>Bank Transfer</t>
  </si>
  <si>
    <t>josh leesh</t>
  </si>
  <si>
    <t>leejosh11@yahoo.com</t>
  </si>
  <si>
    <t>margeret wanjiru</t>
  </si>
  <si>
    <t>D234567</t>
  </si>
  <si>
    <t>kenyan</t>
  </si>
  <si>
    <t>235-740-624-232</t>
  </si>
  <si>
    <t>margret12@yahoo.com</t>
  </si>
  <si>
    <t>female</t>
  </si>
  <si>
    <t>john maya</t>
  </si>
  <si>
    <t>mmaya@gmail.com</t>
  </si>
  <si>
    <t>malle</t>
  </si>
  <si>
    <t>d347455</t>
  </si>
  <si>
    <t>Application ID</t>
  </si>
  <si>
    <t>Payment Date</t>
  </si>
  <si>
    <t>Amount</t>
  </si>
  <si>
    <t>Payment Status</t>
  </si>
  <si>
    <t>cash</t>
  </si>
  <si>
    <t>Paid</t>
  </si>
  <si>
    <t>Payment Records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</si>
</sst>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3" borderId="0" xfId="0" applyFont="1" applyFill="1"/>
    <xf numFmtId="1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" fillId="7" borderId="0" xfId="0" applyFont="1" applyFill="1"/>
    <xf numFmtId="14" fontId="0" fillId="8" borderId="0" xfId="0" applyNumberFormat="1" applyFill="1"/>
    <xf numFmtId="14" fontId="0" fillId="7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7" fontId="0" fillId="0" borderId="0" xfId="0" applyNumberFormat="1"/>
    <xf numFmtId="0" fontId="0" fillId="10" borderId="0" xfId="0" applyFill="1"/>
    <xf numFmtId="0" fontId="1" fillId="10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0</xdr:row>
          <xdr:rowOff>133350</xdr:rowOff>
        </xdr:from>
        <xdr:to>
          <xdr:col>1</xdr:col>
          <xdr:colOff>400050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133350</xdr:rowOff>
        </xdr:from>
        <xdr:to>
          <xdr:col>1</xdr:col>
          <xdr:colOff>695325</xdr:colOff>
          <xdr:row>0</xdr:row>
          <xdr:rowOff>400050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Applicaion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133350</xdr:rowOff>
        </xdr:from>
        <xdr:to>
          <xdr:col>3</xdr:col>
          <xdr:colOff>428625</xdr:colOff>
          <xdr:row>0</xdr:row>
          <xdr:rowOff>400050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13</xdr:row>
          <xdr:rowOff>133350</xdr:rowOff>
        </xdr:from>
        <xdr:to>
          <xdr:col>1</xdr:col>
          <xdr:colOff>209550</xdr:colOff>
          <xdr:row>15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1009650</xdr:colOff>
          <xdr:row>0</xdr:row>
          <xdr:rowOff>57150</xdr:rowOff>
        </xdr:from>
        <xdr:to>
          <xdr:col>2</xdr:col>
          <xdr:colOff>361950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payment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cy anzemo" refreshedDate="45680.865371412037" createdVersion="3" refreshedVersion="8" minRefreshableVersion="3" recordCount="5" xr:uid="{C954514A-A593-4999-9DB1-85735C9D45E6}">
  <cacheSource type="worksheet">
    <worksheetSource ref="A1:B6" sheet="Data"/>
  </cacheSource>
  <cacheFields count="2">
    <cacheField name="Payment Method" numFmtId="0">
      <sharedItems count="5">
        <s v="Bank Transfer"/>
        <s v="Cash"/>
        <s v="Credit Card"/>
        <s v="Debit Cards"/>
        <s v="Mobile Payment"/>
      </sharedItems>
    </cacheField>
    <cacheField name="Total Amount" numFmtId="0">
      <sharedItems containsSemiMixedTypes="0" containsString="0" containsNumber="1" containsInteger="1" minValue="200" maxValue="10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cy anzemo" refreshedDate="45680.865373263892" createdVersion="3" refreshedVersion="8" minRefreshableVersion="3" recordCount="2" xr:uid="{012009F0-0CBB-409E-A0F9-42295EB0DA71}">
  <cacheSource type="worksheet">
    <worksheetSource ref="D1:E3" sheet="Data"/>
  </cacheSource>
  <cacheFields count="2">
    <cacheField name="Status" numFmtId="0">
      <sharedItems count="2">
        <s v="Pending"/>
        <s v="Rejected"/>
      </sharedItems>
    </cacheField>
    <cacheField name="Total Count" numFmtId="0">
      <sharedItems containsSemiMixedTypes="0" containsString="0" containsNumber="1" containsInteger="1" minValue="3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250"/>
  </r>
  <r>
    <x v="1"/>
    <n v="400"/>
  </r>
  <r>
    <x v="2"/>
    <n v="200"/>
  </r>
  <r>
    <x v="3"/>
    <n v="250"/>
  </r>
  <r>
    <x v="4"/>
    <n v="10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"/>
  </r>
  <r>
    <x v="1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4F432-6FD9-489E-A113-43F14D46C74B}" name="PivotTable4" cacheId="17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G3:H6" firstHeaderRow="1" firstDataRow="1" firstDataCol="1"/>
  <pivotFields count="2">
    <pivotField axis="axisRow" showAll="0">
      <items count="3">
        <item x="0"/>
        <item n="Total Applications by Status" x="1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Total Count" fld="1" baseField="0" baseItem="0"/>
  </dataFields>
  <formats count="1">
    <format dxfId="0">
      <pivotArea dataOnly="0" labelOnly="1" fieldPosition="0">
        <references count="1">
          <reference field="0" count="1"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1C3D69-7243-4B0A-B776-145A08B7304E}" name="PivotTable3" cacheId="13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B9" firstHeaderRow="1" firstDataRow="1" firstDataCol="1"/>
  <pivotFields count="2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Amount" fld="1" baseField="0" baseItem="0"/>
  </dataField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DE90D-44CD-49D4-AF8B-783810D09082}">
  <sheetPr codeName="Sheet1"/>
  <dimension ref="A1:N17"/>
  <sheetViews>
    <sheetView workbookViewId="0">
      <selection activeCell="F15" sqref="F15"/>
    </sheetView>
  </sheetViews>
  <sheetFormatPr defaultRowHeight="15" x14ac:dyDescent="0.25"/>
  <cols>
    <col min="1" max="1" width="16.5703125" bestFit="1" customWidth="1"/>
    <col min="2" max="2" width="16.42578125" bestFit="1" customWidth="1"/>
    <col min="3" max="3" width="15.28515625" bestFit="1" customWidth="1"/>
    <col min="4" max="4" width="32.85546875" bestFit="1" customWidth="1"/>
    <col min="5" max="5" width="15.85546875" bestFit="1" customWidth="1"/>
    <col min="6" max="6" width="9.7109375" bestFit="1" customWidth="1"/>
  </cols>
  <sheetData>
    <row r="1" spans="1:14" ht="37.5" customHeight="1" x14ac:dyDescent="0.35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ht="21.75" customHeight="1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</row>
    <row r="3" spans="1:14" x14ac:dyDescent="0.25">
      <c r="A3" t="s">
        <v>7</v>
      </c>
      <c r="B3" t="s">
        <v>8</v>
      </c>
      <c r="C3" t="s">
        <v>9</v>
      </c>
      <c r="D3" t="s">
        <v>10</v>
      </c>
      <c r="E3" s="3">
        <v>45667</v>
      </c>
      <c r="F3" s="4" t="s">
        <v>11</v>
      </c>
    </row>
    <row r="4" spans="1:14" x14ac:dyDescent="0.25">
      <c r="A4" t="s">
        <v>12</v>
      </c>
      <c r="B4" t="s">
        <v>13</v>
      </c>
      <c r="C4" t="s">
        <v>14</v>
      </c>
      <c r="D4" t="s">
        <v>15</v>
      </c>
      <c r="E4" s="3">
        <v>45668</v>
      </c>
      <c r="F4" s="5" t="s">
        <v>16</v>
      </c>
    </row>
    <row r="5" spans="1:14" x14ac:dyDescent="0.25">
      <c r="A5" t="s">
        <v>17</v>
      </c>
      <c r="B5" t="s">
        <v>18</v>
      </c>
      <c r="C5" t="s">
        <v>19</v>
      </c>
      <c r="D5" t="s">
        <v>20</v>
      </c>
      <c r="E5" s="3">
        <v>45670</v>
      </c>
      <c r="F5" s="4" t="s">
        <v>11</v>
      </c>
    </row>
    <row r="6" spans="1:14" x14ac:dyDescent="0.25">
      <c r="A6" t="s">
        <v>21</v>
      </c>
      <c r="B6" t="s">
        <v>22</v>
      </c>
      <c r="C6" t="s">
        <v>19</v>
      </c>
      <c r="D6" t="s">
        <v>20</v>
      </c>
      <c r="E6" s="3">
        <v>45095</v>
      </c>
      <c r="F6" s="6" t="s">
        <v>23</v>
      </c>
    </row>
    <row r="7" spans="1:14" x14ac:dyDescent="0.25">
      <c r="A7" t="s">
        <v>24</v>
      </c>
      <c r="B7" t="s">
        <v>25</v>
      </c>
      <c r="C7" t="s">
        <v>26</v>
      </c>
      <c r="D7" t="s">
        <v>27</v>
      </c>
      <c r="E7" s="3">
        <v>45321</v>
      </c>
      <c r="F7" s="4" t="s">
        <v>11</v>
      </c>
    </row>
    <row r="8" spans="1:14" x14ac:dyDescent="0.25">
      <c r="A8" t="s">
        <v>28</v>
      </c>
      <c r="B8" t="s">
        <v>29</v>
      </c>
      <c r="C8" t="s">
        <v>19</v>
      </c>
      <c r="D8" t="s">
        <v>20</v>
      </c>
      <c r="E8" s="3">
        <v>45666</v>
      </c>
      <c r="F8" s="4" t="s">
        <v>11</v>
      </c>
    </row>
    <row r="9" spans="1:14" x14ac:dyDescent="0.25">
      <c r="A9" t="s">
        <v>30</v>
      </c>
      <c r="B9" t="s">
        <v>31</v>
      </c>
      <c r="C9" t="s">
        <v>9</v>
      </c>
      <c r="D9" t="s">
        <v>10</v>
      </c>
      <c r="E9" s="3">
        <v>45321</v>
      </c>
      <c r="F9" s="5" t="s">
        <v>16</v>
      </c>
    </row>
    <row r="10" spans="1:14" x14ac:dyDescent="0.25">
      <c r="A10" t="s">
        <v>32</v>
      </c>
      <c r="B10" t="s">
        <v>33</v>
      </c>
      <c r="C10" t="s">
        <v>9</v>
      </c>
      <c r="D10" t="s">
        <v>10</v>
      </c>
      <c r="E10" s="3">
        <v>45666</v>
      </c>
      <c r="F10" s="4" t="s">
        <v>11</v>
      </c>
    </row>
    <row r="11" spans="1:14" x14ac:dyDescent="0.25">
      <c r="A11" t="s">
        <v>34</v>
      </c>
      <c r="B11" t="s">
        <v>35</v>
      </c>
      <c r="C11" t="s">
        <v>9</v>
      </c>
      <c r="D11" t="s">
        <v>10</v>
      </c>
      <c r="E11" s="3">
        <v>44870</v>
      </c>
      <c r="F11" s="5" t="s">
        <v>16</v>
      </c>
    </row>
    <row r="12" spans="1:14" x14ac:dyDescent="0.25">
      <c r="A12" t="s">
        <v>36</v>
      </c>
      <c r="B12" t="s">
        <v>37</v>
      </c>
      <c r="C12" t="s">
        <v>26</v>
      </c>
      <c r="D12" t="s">
        <v>27</v>
      </c>
      <c r="E12" s="3">
        <v>44400</v>
      </c>
      <c r="F12" s="5" t="s">
        <v>16</v>
      </c>
    </row>
    <row r="13" spans="1:14" x14ac:dyDescent="0.25">
      <c r="A13" t="s">
        <v>85</v>
      </c>
      <c r="B13" t="s">
        <v>37</v>
      </c>
      <c r="C13" t="s">
        <v>14</v>
      </c>
      <c r="D13" t="s">
        <v>15</v>
      </c>
      <c r="E13" s="3">
        <v>45665</v>
      </c>
      <c r="F13" s="6" t="s">
        <v>23</v>
      </c>
    </row>
    <row r="14" spans="1:14" x14ac:dyDescent="0.25">
      <c r="A14" t="s">
        <v>89</v>
      </c>
      <c r="B14" t="s">
        <v>95</v>
      </c>
      <c r="C14" t="s">
        <v>14</v>
      </c>
      <c r="D14" t="s">
        <v>15</v>
      </c>
      <c r="E14" s="3">
        <v>45658</v>
      </c>
      <c r="F14" s="6" t="s">
        <v>23</v>
      </c>
    </row>
    <row r="15" spans="1:14" x14ac:dyDescent="0.25">
      <c r="A15" t="s">
        <v>97</v>
      </c>
      <c r="B15" t="s">
        <v>95</v>
      </c>
      <c r="C15" t="s">
        <v>19</v>
      </c>
      <c r="D15" t="s">
        <v>20</v>
      </c>
      <c r="E15" s="3">
        <v>45658</v>
      </c>
      <c r="F15" s="4" t="s">
        <v>11</v>
      </c>
    </row>
    <row r="16" spans="1:14" x14ac:dyDescent="0.25">
      <c r="A16" t="s">
        <v>99</v>
      </c>
      <c r="B16" t="s">
        <v>100</v>
      </c>
      <c r="C16" t="s">
        <v>9</v>
      </c>
      <c r="D16" t="s">
        <v>10</v>
      </c>
      <c r="E16" s="3">
        <v>45666</v>
      </c>
      <c r="F16" s="4" t="s">
        <v>11</v>
      </c>
    </row>
    <row r="17" spans="1:6" x14ac:dyDescent="0.25">
      <c r="A17" t="s">
        <v>105</v>
      </c>
      <c r="B17" t="s">
        <v>108</v>
      </c>
      <c r="C17" t="s">
        <v>9</v>
      </c>
      <c r="D17" t="s">
        <v>10</v>
      </c>
      <c r="E17" s="3">
        <v>45329</v>
      </c>
      <c r="F17" s="4" t="s">
        <v>11</v>
      </c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ashboard">
                <anchor moveWithCells="1" sizeWithCells="1">
                  <from>
                    <xdr:col>0</xdr:col>
                    <xdr:colOff>628650</xdr:colOff>
                    <xdr:row>0</xdr:row>
                    <xdr:rowOff>133350</xdr:rowOff>
                  </from>
                  <to>
                    <xdr:col>1</xdr:col>
                    <xdr:colOff>400050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F2DB-3C86-45FD-9BDB-404A0EFA82AE}">
  <sheetPr codeName="Sheet2"/>
  <dimension ref="A1:V50"/>
  <sheetViews>
    <sheetView workbookViewId="0">
      <selection sqref="A1:V1"/>
    </sheetView>
  </sheetViews>
  <sheetFormatPr defaultRowHeight="15" x14ac:dyDescent="0.25"/>
  <cols>
    <col min="1" max="1" width="16.5703125" bestFit="1" customWidth="1"/>
    <col min="2" max="2" width="11.42578125" bestFit="1" customWidth="1"/>
    <col min="3" max="3" width="15.28515625" bestFit="1" customWidth="1"/>
    <col min="4" max="4" width="26.7109375" bestFit="1" customWidth="1"/>
    <col min="5" max="5" width="7.7109375" bestFit="1" customWidth="1"/>
    <col min="6" max="6" width="10.7109375" bestFit="1" customWidth="1"/>
    <col min="7" max="7" width="16.42578125" bestFit="1" customWidth="1"/>
    <col min="8" max="8" width="15.42578125" customWidth="1"/>
  </cols>
  <sheetData>
    <row r="1" spans="1:22" ht="35.25" customHeight="1" x14ac:dyDescent="0.35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</row>
    <row r="2" spans="1:22" s="7" customFormat="1" x14ac:dyDescent="0.25"/>
    <row r="3" spans="1:22" s="8" customFormat="1" x14ac:dyDescent="0.25"/>
    <row r="4" spans="1:22" s="7" customFormat="1" x14ac:dyDescent="0.25">
      <c r="A4" s="9" t="s">
        <v>1</v>
      </c>
      <c r="B4" s="9" t="s">
        <v>38</v>
      </c>
      <c r="C4" s="9" t="s">
        <v>39</v>
      </c>
      <c r="D4" s="9" t="s">
        <v>40</v>
      </c>
      <c r="E4" s="9" t="s">
        <v>41</v>
      </c>
      <c r="F4" s="9" t="s">
        <v>42</v>
      </c>
      <c r="G4" s="9" t="s">
        <v>2</v>
      </c>
      <c r="H4" s="9" t="s">
        <v>5</v>
      </c>
    </row>
    <row r="5" spans="1:22" s="8" customFormat="1" x14ac:dyDescent="0.25">
      <c r="A5" s="8" t="s">
        <v>7</v>
      </c>
      <c r="B5" s="8" t="s">
        <v>43</v>
      </c>
      <c r="C5" s="8" t="s">
        <v>44</v>
      </c>
      <c r="D5" s="8" t="s">
        <v>45</v>
      </c>
      <c r="E5" s="8" t="s">
        <v>46</v>
      </c>
      <c r="F5" s="10">
        <v>35999</v>
      </c>
      <c r="G5" s="8" t="s">
        <v>8</v>
      </c>
      <c r="H5" s="10">
        <v>45667</v>
      </c>
    </row>
    <row r="6" spans="1:22" s="7" customFormat="1" x14ac:dyDescent="0.25">
      <c r="A6" s="7" t="s">
        <v>12</v>
      </c>
      <c r="B6" s="7" t="s">
        <v>47</v>
      </c>
      <c r="C6" s="7" t="s">
        <v>48</v>
      </c>
      <c r="D6" s="7" t="s">
        <v>49</v>
      </c>
      <c r="E6" s="7" t="s">
        <v>46</v>
      </c>
      <c r="F6" s="11">
        <v>31373</v>
      </c>
      <c r="G6" s="7" t="s">
        <v>13</v>
      </c>
      <c r="H6" s="11">
        <v>45668</v>
      </c>
    </row>
    <row r="7" spans="1:22" s="8" customFormat="1" x14ac:dyDescent="0.25">
      <c r="A7" s="8" t="s">
        <v>17</v>
      </c>
      <c r="B7" s="8" t="s">
        <v>50</v>
      </c>
      <c r="C7" s="8" t="s">
        <v>51</v>
      </c>
      <c r="D7" s="8" t="s">
        <v>52</v>
      </c>
      <c r="E7" s="8" t="s">
        <v>53</v>
      </c>
      <c r="F7" s="10">
        <v>36484</v>
      </c>
      <c r="G7" s="8" t="s">
        <v>18</v>
      </c>
      <c r="H7" s="10">
        <v>45670</v>
      </c>
    </row>
    <row r="8" spans="1:22" s="7" customFormat="1" x14ac:dyDescent="0.25">
      <c r="A8" s="7" t="s">
        <v>21</v>
      </c>
      <c r="B8" s="7" t="s">
        <v>54</v>
      </c>
      <c r="C8" s="7" t="s">
        <v>55</v>
      </c>
      <c r="D8" s="7" t="s">
        <v>56</v>
      </c>
      <c r="E8" s="7" t="s">
        <v>53</v>
      </c>
      <c r="F8" s="11">
        <v>36532</v>
      </c>
      <c r="G8" s="7" t="s">
        <v>22</v>
      </c>
      <c r="H8" s="11">
        <v>45095</v>
      </c>
    </row>
    <row r="9" spans="1:22" s="8" customFormat="1" x14ac:dyDescent="0.25">
      <c r="A9" s="8" t="s">
        <v>24</v>
      </c>
      <c r="B9" s="8" t="s">
        <v>57</v>
      </c>
      <c r="C9" s="8" t="s">
        <v>58</v>
      </c>
      <c r="D9" s="8" t="s">
        <v>59</v>
      </c>
      <c r="E9" s="8" t="s">
        <v>53</v>
      </c>
      <c r="F9" s="10">
        <v>31242</v>
      </c>
      <c r="G9" s="8" t="s">
        <v>25</v>
      </c>
      <c r="H9" s="10">
        <v>45321</v>
      </c>
    </row>
    <row r="10" spans="1:22" s="7" customFormat="1" x14ac:dyDescent="0.25">
      <c r="A10" s="7" t="s">
        <v>28</v>
      </c>
      <c r="B10" s="7" t="s">
        <v>60</v>
      </c>
      <c r="C10" s="7" t="s">
        <v>61</v>
      </c>
      <c r="D10" s="7" t="s">
        <v>62</v>
      </c>
      <c r="E10" s="7" t="s">
        <v>46</v>
      </c>
      <c r="F10" s="11">
        <v>33745</v>
      </c>
      <c r="G10" s="7" t="s">
        <v>29</v>
      </c>
      <c r="H10" s="11">
        <v>45666</v>
      </c>
    </row>
    <row r="11" spans="1:22" s="8" customFormat="1" x14ac:dyDescent="0.25">
      <c r="A11" s="8" t="s">
        <v>30</v>
      </c>
      <c r="B11" s="8" t="s">
        <v>63</v>
      </c>
      <c r="C11" s="8" t="s">
        <v>64</v>
      </c>
      <c r="D11" s="8" t="s">
        <v>65</v>
      </c>
      <c r="E11" s="8" t="s">
        <v>53</v>
      </c>
      <c r="F11" s="10">
        <v>28579</v>
      </c>
      <c r="G11" s="8" t="s">
        <v>31</v>
      </c>
      <c r="H11" s="10">
        <v>45321</v>
      </c>
    </row>
    <row r="12" spans="1:22" s="7" customFormat="1" x14ac:dyDescent="0.25">
      <c r="A12" s="7" t="s">
        <v>32</v>
      </c>
      <c r="B12" s="7" t="s">
        <v>66</v>
      </c>
      <c r="C12" s="7" t="s">
        <v>67</v>
      </c>
      <c r="D12" s="7" t="s">
        <v>68</v>
      </c>
      <c r="E12" s="7" t="s">
        <v>46</v>
      </c>
      <c r="F12" s="11">
        <v>37206</v>
      </c>
      <c r="G12" s="7" t="s">
        <v>33</v>
      </c>
      <c r="H12" s="11">
        <v>45666</v>
      </c>
    </row>
    <row r="13" spans="1:22" s="8" customFormat="1" x14ac:dyDescent="0.25">
      <c r="A13" s="8" t="s">
        <v>34</v>
      </c>
      <c r="B13" s="8" t="s">
        <v>69</v>
      </c>
      <c r="C13" s="8" t="s">
        <v>70</v>
      </c>
      <c r="D13" s="8" t="s">
        <v>71</v>
      </c>
      <c r="E13" s="8" t="s">
        <v>53</v>
      </c>
      <c r="F13" s="10">
        <v>33118</v>
      </c>
      <c r="G13" s="8" t="s">
        <v>35</v>
      </c>
      <c r="H13" s="10">
        <v>44870</v>
      </c>
    </row>
    <row r="14" spans="1:22" s="7" customFormat="1" x14ac:dyDescent="0.25">
      <c r="A14" s="7" t="s">
        <v>36</v>
      </c>
      <c r="B14" s="7" t="s">
        <v>72</v>
      </c>
      <c r="C14" s="7" t="s">
        <v>73</v>
      </c>
      <c r="D14" s="7" t="s">
        <v>74</v>
      </c>
      <c r="E14" s="7" t="s">
        <v>46</v>
      </c>
      <c r="F14" s="11">
        <v>32496</v>
      </c>
      <c r="G14" s="7" t="s">
        <v>37</v>
      </c>
      <c r="H14" s="11">
        <v>44400</v>
      </c>
    </row>
    <row r="15" spans="1:22" s="8" customFormat="1" x14ac:dyDescent="0.25">
      <c r="A15" s="8" t="s">
        <v>85</v>
      </c>
      <c r="B15" s="8" t="s">
        <v>86</v>
      </c>
      <c r="C15" s="8" t="s">
        <v>87</v>
      </c>
      <c r="D15" s="8" t="s">
        <v>88</v>
      </c>
      <c r="E15" s="8" t="s">
        <v>46</v>
      </c>
      <c r="F15" s="10">
        <v>36527</v>
      </c>
      <c r="G15" s="8" t="s">
        <v>37</v>
      </c>
      <c r="H15" s="10">
        <v>45665</v>
      </c>
    </row>
    <row r="16" spans="1:22" s="7" customFormat="1" x14ac:dyDescent="0.25">
      <c r="A16" s="7" t="s">
        <v>89</v>
      </c>
      <c r="B16" s="7" t="s">
        <v>43</v>
      </c>
      <c r="C16" s="7" t="s">
        <v>90</v>
      </c>
      <c r="D16" s="7" t="s">
        <v>91</v>
      </c>
      <c r="E16" s="7" t="s">
        <v>46</v>
      </c>
      <c r="F16" s="11">
        <v>37274</v>
      </c>
      <c r="G16" s="7" t="s">
        <v>95</v>
      </c>
      <c r="H16" s="11">
        <v>45658</v>
      </c>
    </row>
    <row r="17" spans="1:8" s="8" customFormat="1" x14ac:dyDescent="0.25">
      <c r="A17" s="8" t="s">
        <v>97</v>
      </c>
      <c r="B17" s="8" t="s">
        <v>43</v>
      </c>
      <c r="C17" s="8" t="s">
        <v>44</v>
      </c>
      <c r="D17" s="8" t="s">
        <v>98</v>
      </c>
      <c r="E17" s="8" t="s">
        <v>46</v>
      </c>
      <c r="F17" s="10">
        <v>37274</v>
      </c>
      <c r="G17" s="8" t="s">
        <v>95</v>
      </c>
      <c r="H17" s="10">
        <v>45658</v>
      </c>
    </row>
    <row r="18" spans="1:8" s="7" customFormat="1" x14ac:dyDescent="0.25">
      <c r="A18" s="7" t="s">
        <v>99</v>
      </c>
      <c r="B18" s="7" t="s">
        <v>101</v>
      </c>
      <c r="C18" s="7" t="s">
        <v>102</v>
      </c>
      <c r="D18" s="7" t="s">
        <v>103</v>
      </c>
      <c r="E18" s="7" t="s">
        <v>104</v>
      </c>
      <c r="F18" s="11">
        <v>36544</v>
      </c>
      <c r="G18" s="7" t="s">
        <v>100</v>
      </c>
      <c r="H18" s="11">
        <v>45666</v>
      </c>
    </row>
    <row r="19" spans="1:8" s="8" customFormat="1" x14ac:dyDescent="0.25">
      <c r="A19" s="8" t="s">
        <v>105</v>
      </c>
      <c r="B19" s="8" t="s">
        <v>43</v>
      </c>
      <c r="C19" s="8" t="s">
        <v>102</v>
      </c>
      <c r="D19" s="8" t="s">
        <v>106</v>
      </c>
      <c r="E19" s="8" t="s">
        <v>107</v>
      </c>
      <c r="F19" s="10">
        <v>31807</v>
      </c>
      <c r="G19" s="8" t="s">
        <v>108</v>
      </c>
      <c r="H19" s="10">
        <v>45329</v>
      </c>
    </row>
    <row r="20" spans="1:8" s="7" customFormat="1" x14ac:dyDescent="0.25"/>
    <row r="21" spans="1:8" s="8" customFormat="1" x14ac:dyDescent="0.25"/>
    <row r="22" spans="1:8" s="7" customFormat="1" x14ac:dyDescent="0.25"/>
    <row r="23" spans="1:8" s="8" customFormat="1" x14ac:dyDescent="0.25"/>
    <row r="24" spans="1:8" s="7" customFormat="1" x14ac:dyDescent="0.25"/>
    <row r="25" spans="1:8" s="8" customFormat="1" x14ac:dyDescent="0.25"/>
    <row r="26" spans="1:8" s="7" customFormat="1" x14ac:dyDescent="0.25"/>
    <row r="27" spans="1:8" s="8" customFormat="1" x14ac:dyDescent="0.25"/>
    <row r="28" spans="1:8" s="7" customFormat="1" x14ac:dyDescent="0.25"/>
    <row r="29" spans="1:8" s="8" customFormat="1" x14ac:dyDescent="0.25"/>
    <row r="30" spans="1:8" s="7" customFormat="1" x14ac:dyDescent="0.25"/>
    <row r="31" spans="1:8" s="8" customFormat="1" x14ac:dyDescent="0.25"/>
    <row r="32" spans="1:8" s="7" customFormat="1" x14ac:dyDescent="0.25"/>
    <row r="33" s="8" customFormat="1" x14ac:dyDescent="0.25"/>
    <row r="34" s="7" customFormat="1" x14ac:dyDescent="0.25"/>
    <row r="35" s="8" customFormat="1" x14ac:dyDescent="0.25"/>
    <row r="36" s="7" customFormat="1" x14ac:dyDescent="0.25"/>
    <row r="37" s="8" customFormat="1" x14ac:dyDescent="0.25"/>
    <row r="38" s="7" customFormat="1" x14ac:dyDescent="0.25"/>
    <row r="39" s="8" customFormat="1" x14ac:dyDescent="0.25"/>
    <row r="40" s="7" customFormat="1" x14ac:dyDescent="0.25"/>
    <row r="41" s="8" customFormat="1" x14ac:dyDescent="0.25"/>
    <row r="42" s="7" customFormat="1" x14ac:dyDescent="0.25"/>
    <row r="43" s="8" customFormat="1" x14ac:dyDescent="0.25"/>
    <row r="44" s="7" customFormat="1" x14ac:dyDescent="0.25"/>
    <row r="45" s="8" customFormat="1" x14ac:dyDescent="0.25"/>
    <row r="46" s="7" customFormat="1" x14ac:dyDescent="0.25"/>
    <row r="47" s="8" customFormat="1" x14ac:dyDescent="0.25"/>
    <row r="48" s="7" customFormat="1" x14ac:dyDescent="0.25"/>
    <row r="49" s="8" customFormat="1" x14ac:dyDescent="0.25"/>
    <row r="50" s="7" customFormat="1" x14ac:dyDescent="0.25"/>
  </sheetData>
  <mergeCells count="1">
    <mergeCell ref="A1:V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pplicationForm">
                <anchor moveWithCells="1" sizeWithCells="1">
                  <from>
                    <xdr:col>0</xdr:col>
                    <xdr:colOff>742950</xdr:colOff>
                    <xdr:row>0</xdr:row>
                    <xdr:rowOff>133350</xdr:rowOff>
                  </from>
                  <to>
                    <xdr:col>1</xdr:col>
                    <xdr:colOff>695325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Applications">
                <anchor moveWithCells="1" sizeWithCells="1">
                  <from>
                    <xdr:col>2</xdr:col>
                    <xdr:colOff>200025</xdr:colOff>
                    <xdr:row>0</xdr:row>
                    <xdr:rowOff>133350</xdr:rowOff>
                  </from>
                  <to>
                    <xdr:col>3</xdr:col>
                    <xdr:colOff>428625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B22F4-9DCF-4A0C-B942-6458A6F8787C}">
  <sheetPr codeName="Sheet5"/>
  <dimension ref="A1:H9"/>
  <sheetViews>
    <sheetView workbookViewId="0">
      <selection activeCell="F10" sqref="F10"/>
    </sheetView>
  </sheetViews>
  <sheetFormatPr defaultRowHeight="15" x14ac:dyDescent="0.25"/>
  <cols>
    <col min="1" max="1" width="15.7109375" bestFit="1" customWidth="1"/>
    <col min="2" max="2" width="19.85546875" bestFit="1" customWidth="1"/>
    <col min="7" max="7" width="13.140625" bestFit="1" customWidth="1"/>
    <col min="8" max="8" width="18" bestFit="1" customWidth="1"/>
  </cols>
  <sheetData>
    <row r="1" spans="1:8" ht="27.75" customHeight="1" x14ac:dyDescent="0.25">
      <c r="A1" s="1" t="s">
        <v>93</v>
      </c>
    </row>
    <row r="3" spans="1:8" x14ac:dyDescent="0.25">
      <c r="A3" s="12" t="s">
        <v>82</v>
      </c>
      <c r="B3" t="s">
        <v>84</v>
      </c>
      <c r="G3" s="12" t="s">
        <v>82</v>
      </c>
      <c r="H3" t="s">
        <v>92</v>
      </c>
    </row>
    <row r="4" spans="1:8" x14ac:dyDescent="0.25">
      <c r="A4" s="13" t="s">
        <v>96</v>
      </c>
      <c r="B4" s="21">
        <v>250</v>
      </c>
      <c r="G4" s="13" t="s">
        <v>11</v>
      </c>
      <c r="H4" s="21">
        <v>10</v>
      </c>
    </row>
    <row r="5" spans="1:8" x14ac:dyDescent="0.25">
      <c r="A5" s="13" t="s">
        <v>75</v>
      </c>
      <c r="B5" s="21">
        <v>400</v>
      </c>
      <c r="G5" s="14" t="s">
        <v>94</v>
      </c>
      <c r="H5" s="21">
        <v>3</v>
      </c>
    </row>
    <row r="6" spans="1:8" x14ac:dyDescent="0.25">
      <c r="A6" s="13" t="s">
        <v>76</v>
      </c>
      <c r="B6" s="21">
        <v>200</v>
      </c>
      <c r="G6" s="13" t="s">
        <v>83</v>
      </c>
      <c r="H6" s="21">
        <v>13</v>
      </c>
    </row>
    <row r="7" spans="1:8" x14ac:dyDescent="0.25">
      <c r="A7" s="13" t="s">
        <v>77</v>
      </c>
      <c r="B7" s="21">
        <v>250</v>
      </c>
    </row>
    <row r="8" spans="1:8" x14ac:dyDescent="0.25">
      <c r="A8" s="13" t="s">
        <v>78</v>
      </c>
      <c r="B8" s="21">
        <v>1050</v>
      </c>
    </row>
    <row r="9" spans="1:8" x14ac:dyDescent="0.25">
      <c r="A9" s="13" t="s">
        <v>83</v>
      </c>
      <c r="B9" s="21">
        <v>2150</v>
      </c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PivotTables">
                <anchor moveWithCells="1" sizeWithCells="1">
                  <from>
                    <xdr:col>0</xdr:col>
                    <xdr:colOff>228600</xdr:colOff>
                    <xdr:row>13</xdr:row>
                    <xdr:rowOff>133350</xdr:rowOff>
                  </from>
                  <to>
                    <xdr:col>1</xdr:col>
                    <xdr:colOff>209550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A4B5C-856F-4F73-9372-786E7A5F844D}">
  <sheetPr codeName="Sheet4"/>
  <dimension ref="A1:E6"/>
  <sheetViews>
    <sheetView tabSelected="1" workbookViewId="0">
      <selection activeCell="I11" sqref="I11"/>
    </sheetView>
  </sheetViews>
  <sheetFormatPr defaultRowHeight="15" x14ac:dyDescent="0.25"/>
  <cols>
    <col min="1" max="1" width="15.85546875" customWidth="1"/>
    <col min="2" max="2" width="17.140625" customWidth="1"/>
    <col min="5" max="5" width="13.140625" customWidth="1"/>
  </cols>
  <sheetData>
    <row r="1" spans="1:5" x14ac:dyDescent="0.25">
      <c r="A1" t="s">
        <v>79</v>
      </c>
      <c r="B1" t="s">
        <v>80</v>
      </c>
      <c r="D1" t="s">
        <v>6</v>
      </c>
      <c r="E1" t="s">
        <v>81</v>
      </c>
    </row>
    <row r="2" spans="1:5" x14ac:dyDescent="0.25">
      <c r="A2" t="s">
        <v>96</v>
      </c>
      <c r="B2">
        <v>250</v>
      </c>
      <c r="D2" t="s">
        <v>11</v>
      </c>
      <c r="E2">
        <v>10</v>
      </c>
    </row>
    <row r="3" spans="1:5" x14ac:dyDescent="0.25">
      <c r="A3" t="s">
        <v>75</v>
      </c>
      <c r="B3">
        <v>400</v>
      </c>
      <c r="D3" t="s">
        <v>23</v>
      </c>
      <c r="E3">
        <v>3</v>
      </c>
    </row>
    <row r="4" spans="1:5" x14ac:dyDescent="0.25">
      <c r="A4" t="s">
        <v>76</v>
      </c>
      <c r="B4">
        <v>200</v>
      </c>
    </row>
    <row r="5" spans="1:5" x14ac:dyDescent="0.25">
      <c r="A5" t="s">
        <v>77</v>
      </c>
      <c r="B5">
        <v>250</v>
      </c>
    </row>
    <row r="6" spans="1:5" x14ac:dyDescent="0.25">
      <c r="A6" t="s">
        <v>78</v>
      </c>
      <c r="B6">
        <v>1050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793A-3EF1-4D0B-9A42-255F9178C908}">
  <sheetPr codeName="Sheet3"/>
  <dimension ref="A1:T6"/>
  <sheetViews>
    <sheetView workbookViewId="0">
      <selection activeCell="D15" sqref="D15"/>
    </sheetView>
  </sheetViews>
  <sheetFormatPr defaultRowHeight="15" x14ac:dyDescent="0.25"/>
  <cols>
    <col min="1" max="1" width="15.85546875" customWidth="1"/>
    <col min="2" max="2" width="16.5703125" customWidth="1"/>
    <col min="4" max="4" width="21.5703125" customWidth="1"/>
    <col min="5" max="5" width="18.42578125" customWidth="1"/>
  </cols>
  <sheetData>
    <row r="1" spans="1:20" x14ac:dyDescent="0.25">
      <c r="A1" s="20" t="s">
        <v>115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</row>
    <row r="2" spans="1:20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1:20" s="16" customFormat="1" x14ac:dyDescent="0.25">
      <c r="A3" s="17" t="s">
        <v>109</v>
      </c>
      <c r="B3" s="17" t="s">
        <v>110</v>
      </c>
      <c r="C3" s="17" t="s">
        <v>111</v>
      </c>
      <c r="D3" s="17" t="s">
        <v>79</v>
      </c>
      <c r="E3" s="17" t="s">
        <v>112</v>
      </c>
    </row>
    <row r="4" spans="1:20" x14ac:dyDescent="0.25">
      <c r="A4">
        <v>26</v>
      </c>
      <c r="B4" s="3">
        <v>45345</v>
      </c>
      <c r="C4" s="15">
        <v>100</v>
      </c>
      <c r="D4" t="s">
        <v>113</v>
      </c>
      <c r="E4" t="s">
        <v>114</v>
      </c>
    </row>
    <row r="5" spans="1:20" x14ac:dyDescent="0.25">
      <c r="A5">
        <v>25</v>
      </c>
      <c r="B5" s="3">
        <v>45311</v>
      </c>
      <c r="C5" s="15">
        <v>200</v>
      </c>
      <c r="D5" t="s">
        <v>113</v>
      </c>
      <c r="E5" t="s">
        <v>114</v>
      </c>
    </row>
    <row r="6" spans="1:20" x14ac:dyDescent="0.25">
      <c r="A6">
        <v>25</v>
      </c>
      <c r="B6" s="3">
        <v>43862</v>
      </c>
      <c r="C6" s="15">
        <v>200</v>
      </c>
      <c r="D6" t="s">
        <v>113</v>
      </c>
      <c r="E6" t="s">
        <v>114</v>
      </c>
    </row>
  </sheetData>
  <mergeCells count="1">
    <mergeCell ref="A1:T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aymentform1">
                <anchor moveWithCells="1" sizeWithCells="1">
                  <from>
                    <xdr:col>0</xdr:col>
                    <xdr:colOff>1009650</xdr:colOff>
                    <xdr:row>0</xdr:row>
                    <xdr:rowOff>57150</xdr:rowOff>
                  </from>
                  <to>
                    <xdr:col>2</xdr:col>
                    <xdr:colOff>361950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Applications</vt:lpstr>
      <vt:lpstr>PivotTables</vt:lpstr>
      <vt:lpstr>Data</vt:lpstr>
      <vt:lpstr>PaymentRecords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stacy anzemo</dc:creator>
  <cp:lastModifiedBy>stacy anzemo</cp:lastModifiedBy>
  <dcterms:created xsi:type="dcterms:W3CDTF">2025-01-23T03:05:41Z</dcterms:created>
  <dcterms:modified xsi:type="dcterms:W3CDTF">2025-01-23T18:26:58Z</dcterms:modified>
</cp:coreProperties>
</file>